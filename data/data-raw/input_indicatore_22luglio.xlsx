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40965" windowHeight="16440"/>
  </bookViews>
  <sheets>
    <sheet name="Sheet1" sheetId="1" r:id="rId1"/>
    <sheet name="Sheet2" sheetId="2" r:id="rId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" i="1" l="1"/>
  <c r="H23" i="1"/>
  <c r="J22" i="1"/>
  <c r="L22" i="1" s="1"/>
  <c r="J21" i="1"/>
  <c r="L21" i="1" s="1"/>
  <c r="J20" i="1"/>
  <c r="L20" i="1" s="1"/>
  <c r="J19" i="1"/>
  <c r="L19" i="1" s="1"/>
  <c r="J18" i="1"/>
  <c r="L18" i="1" s="1"/>
  <c r="J17" i="1"/>
  <c r="L17" i="1" s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9" i="1"/>
  <c r="L9" i="1" s="1"/>
  <c r="J8" i="1"/>
  <c r="L8" i="1" s="1"/>
  <c r="J7" i="1"/>
  <c r="L7" i="1" s="1"/>
  <c r="J6" i="1"/>
  <c r="L6" i="1" s="1"/>
  <c r="J5" i="1"/>
  <c r="L5" i="1" s="1"/>
  <c r="J4" i="1"/>
  <c r="L4" i="1" s="1"/>
  <c r="J3" i="1"/>
  <c r="L3" i="1" s="1"/>
  <c r="J2" i="1"/>
  <c r="L2" i="1" s="1"/>
  <c r="J23" i="1" l="1"/>
  <c r="L23" i="1" s="1"/>
</calcChain>
</file>

<file path=xl/sharedStrings.xml><?xml version="1.0" encoding="utf-8"?>
<sst xmlns="http://schemas.openxmlformats.org/spreadsheetml/2006/main" count="78" uniqueCount="35">
  <si>
    <t>Italia</t>
  </si>
  <si>
    <t>Piemonte</t>
  </si>
  <si>
    <t>Valle d'Aosta</t>
  </si>
  <si>
    <t>Liguria</t>
  </si>
  <si>
    <t>Lombardia</t>
  </si>
  <si>
    <t>Provincia Autonoma Bolzano</t>
  </si>
  <si>
    <t>Provincia Autonoma Trento</t>
  </si>
  <si>
    <t>Veneto</t>
  </si>
  <si>
    <t>Friuli-Venezia Giulia</t>
  </si>
  <si>
    <t>Emilia-Romagna</t>
  </si>
  <si>
    <t>Toscana</t>
  </si>
  <si>
    <t>Umbria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</si>
  <si>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</si>
  <si>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</si>
  <si>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</si>
  <si>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</si>
  <si>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</si>
  <si>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</si>
  <si>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</si>
  <si>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</si>
  <si>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</si>
  <si>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</si>
  <si>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vaccinati</t>
  </si>
  <si>
    <t>regione</t>
  </si>
  <si>
    <t>popolazione</t>
  </si>
  <si>
    <t>incidenza</t>
  </si>
  <si>
    <t>Regioni/PA</t>
  </si>
  <si>
    <t>Casi totali 15 luglio</t>
  </si>
  <si>
    <t>Casi totali 21 luglio</t>
  </si>
  <si>
    <t>Incidenza settimanale (15-21 luglio)</t>
  </si>
  <si>
    <t>Popolazione regionale</t>
  </si>
  <si>
    <t>Incidenza x 100.000 residenti</t>
  </si>
  <si>
    <t>Friuli Venezia Giulia</t>
  </si>
  <si>
    <t>P.A. Bolzano</t>
  </si>
  <si>
    <t>P.A. Trento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</si>
</sst>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37" fontId="0" fillId="2" borderId="1" xfId="0" applyNumberFormat="1" applyFill="1" applyBorder="1" applyAlignment="1">
      <alignment horizontal="center"/>
    </xf>
    <xf numFmtId="37" fontId="0" fillId="2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37" fontId="0" fillId="0" borderId="1" xfId="0" applyNumberFormat="1" applyFont="1" applyBorder="1" applyAlignment="1">
      <alignment horizontal="center" vertical="center"/>
    </xf>
    <xf numFmtId="37" fontId="0" fillId="2" borderId="1" xfId="0" applyNumberFormat="1" applyFont="1" applyFill="1" applyBorder="1" applyAlignment="1">
      <alignment horizontal="center"/>
    </xf>
    <xf numFmtId="37" fontId="2" fillId="3" borderId="1" xfId="0" applyNumberFormat="1" applyFont="1" applyFill="1" applyBorder="1" applyAlignment="1">
      <alignment horizontal="center"/>
    </xf>
    <xf numFmtId="37" fontId="1" fillId="0" borderId="1" xfId="0" applyNumberFormat="1" applyFont="1" applyBorder="1" applyAlignment="1">
      <alignment horizontal="center" vertical="center"/>
    </xf>
    <xf numFmtId="37" fontId="1" fillId="2" borderId="1" xfId="0" applyNumberFormat="1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37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0" fillId="0" borderId="0" xfId="0" applyNumberFormat="1" applyFont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zoomScale="85" zoomScaleNormal="85" workbookViewId="0">
      <selection activeCell="E6" sqref="E6"/>
    </sheetView>
  </sheetViews>
  <sheetFormatPr defaultColWidth="11" defaultRowHeight="15.75" x14ac:dyDescent="0.25"/>
  <cols>
    <col min="1" max="1" width="24.25" bestFit="1" customWidth="1"/>
    <col min="2" max="2" width="11.875" customWidth="1"/>
    <col min="3" max="3" width="10.875" customWidth="1"/>
    <col min="4" max="4" width="9.875" customWidth="1"/>
    <col min="5" max="5" width="8.5" customWidth="1"/>
    <col min="7" max="11" width="21.625" style="13" customWidth="1"/>
    <col min="12" max="12" width="25.125" style="13" bestFit="1" customWidth="1"/>
    <col min="14" max="14" width="24.25" bestFit="1" customWidth="1"/>
  </cols>
  <sheetData>
    <row r="1" spans="1:15" ht="31.5" x14ac:dyDescent="0.25">
      <c r="A1" s="15" t="s">
        <v>23</v>
      </c>
      <c r="B1" s="15" t="s">
        <v>24</v>
      </c>
      <c r="C1" s="15" t="s">
        <v>22</v>
      </c>
      <c r="D1" s="15" t="s">
        <v>25</v>
      </c>
      <c r="G1" s="5" t="s">
        <v>26</v>
      </c>
      <c r="H1" s="5" t="s">
        <v>27</v>
      </c>
      <c r="I1" s="5" t="s">
        <v>28</v>
      </c>
      <c r="J1" s="6" t="s">
        <v>29</v>
      </c>
      <c r="K1" s="5" t="s">
        <v>30</v>
      </c>
      <c r="L1" s="5" t="s">
        <v>31</v>
      </c>
      <c r="N1" s="15" t="s">
        <v>23</v>
      </c>
      <c r="O1" s="15" t="s">
        <v>22</v>
      </c>
    </row>
    <row r="2" spans="1:15" x14ac:dyDescent="0.25">
      <c r="A2" s="2" t="s">
        <v>4</v>
      </c>
      <c r="B2" s="3">
        <v>9966992</v>
      </c>
      <c r="C2" s="4">
        <v>5004932</v>
      </c>
      <c r="D2" s="16">
        <v>23.928984793004751</v>
      </c>
      <c r="G2" s="7" t="s">
        <v>4</v>
      </c>
      <c r="H2" s="8">
        <v>844692</v>
      </c>
      <c r="I2" s="8">
        <v>847077</v>
      </c>
      <c r="J2" s="8">
        <f>+I2-H2</f>
        <v>2385</v>
      </c>
      <c r="K2" s="9">
        <v>9966992</v>
      </c>
      <c r="L2" s="7">
        <f>+J2/K2*100000</f>
        <v>23.928984793004751</v>
      </c>
      <c r="N2" s="2" t="s">
        <v>0</v>
      </c>
      <c r="O2" s="4">
        <v>28533541</v>
      </c>
    </row>
    <row r="3" spans="1:15" x14ac:dyDescent="0.25">
      <c r="A3" s="2" t="s">
        <v>7</v>
      </c>
      <c r="B3" s="3">
        <v>4852453</v>
      </c>
      <c r="C3" s="4">
        <v>2357671</v>
      </c>
      <c r="D3" s="16">
        <v>51.994321222688811</v>
      </c>
      <c r="G3" s="7" t="s">
        <v>7</v>
      </c>
      <c r="H3" s="8">
        <v>427322</v>
      </c>
      <c r="I3" s="8">
        <v>429845</v>
      </c>
      <c r="J3" s="8">
        <f t="shared" ref="J3:J23" si="0">+I3-H3</f>
        <v>2523</v>
      </c>
      <c r="K3" s="9">
        <v>4852453</v>
      </c>
      <c r="L3" s="7">
        <f t="shared" ref="L3:L22" si="1">+J3/K3*100000</f>
        <v>51.994321222688811</v>
      </c>
      <c r="N3" s="2" t="s">
        <v>1</v>
      </c>
      <c r="O3" s="4">
        <v>2018323</v>
      </c>
    </row>
    <row r="4" spans="1:15" x14ac:dyDescent="0.25">
      <c r="A4" s="2" t="s">
        <v>16</v>
      </c>
      <c r="B4" s="3">
        <v>5679759</v>
      </c>
      <c r="C4" s="4">
        <v>2847763</v>
      </c>
      <c r="D4" s="16">
        <v>23.979890696066509</v>
      </c>
      <c r="G4" s="7" t="s">
        <v>16</v>
      </c>
      <c r="H4" s="8">
        <v>426544</v>
      </c>
      <c r="I4" s="8">
        <v>427906</v>
      </c>
      <c r="J4" s="8">
        <f t="shared" si="0"/>
        <v>1362</v>
      </c>
      <c r="K4" s="9">
        <v>5679759</v>
      </c>
      <c r="L4" s="7">
        <f t="shared" si="1"/>
        <v>23.979890696066509</v>
      </c>
      <c r="N4" s="2" t="s">
        <v>2</v>
      </c>
      <c r="O4" s="4">
        <v>55612</v>
      </c>
    </row>
    <row r="5" spans="1:15" x14ac:dyDescent="0.25">
      <c r="A5" s="2" t="s">
        <v>9</v>
      </c>
      <c r="B5" s="3">
        <v>4445549</v>
      </c>
      <c r="C5" s="4">
        <v>2127785</v>
      </c>
      <c r="D5" s="16">
        <v>31.424690178873295</v>
      </c>
      <c r="E5" s="18"/>
      <c r="G5" s="7" t="s">
        <v>9</v>
      </c>
      <c r="H5" s="8">
        <v>388073</v>
      </c>
      <c r="I5" s="8">
        <v>389470</v>
      </c>
      <c r="J5" s="8">
        <f t="shared" si="0"/>
        <v>1397</v>
      </c>
      <c r="K5" s="9">
        <v>4445549</v>
      </c>
      <c r="L5" s="7">
        <f t="shared" si="1"/>
        <v>31.424690178873295</v>
      </c>
      <c r="N5" s="2" t="s">
        <v>3</v>
      </c>
      <c r="O5" s="4">
        <v>665620</v>
      </c>
    </row>
    <row r="6" spans="1:15" x14ac:dyDescent="0.25">
      <c r="A6" s="2" t="s">
        <v>1</v>
      </c>
      <c r="B6" s="3">
        <v>4273210</v>
      </c>
      <c r="C6" s="4">
        <v>2018323</v>
      </c>
      <c r="D6" s="16">
        <v>12.426255671965571</v>
      </c>
      <c r="E6" s="18"/>
      <c r="G6" s="7" t="s">
        <v>1</v>
      </c>
      <c r="H6" s="8">
        <v>363512</v>
      </c>
      <c r="I6" s="8">
        <v>364043</v>
      </c>
      <c r="J6" s="8">
        <f t="shared" si="0"/>
        <v>531</v>
      </c>
      <c r="K6" s="10">
        <v>4273210</v>
      </c>
      <c r="L6" s="7">
        <f t="shared" si="1"/>
        <v>12.426255671965571</v>
      </c>
      <c r="N6" s="2" t="s">
        <v>4</v>
      </c>
      <c r="O6" s="4">
        <v>5004932</v>
      </c>
    </row>
    <row r="7" spans="1:15" x14ac:dyDescent="0.25">
      <c r="A7" s="2" t="s">
        <v>13</v>
      </c>
      <c r="B7" s="3">
        <v>5720796</v>
      </c>
      <c r="C7" s="4">
        <v>2959409</v>
      </c>
      <c r="D7" s="16">
        <v>54.974867133874376</v>
      </c>
      <c r="E7" s="18"/>
      <c r="G7" s="7" t="s">
        <v>13</v>
      </c>
      <c r="H7" s="8">
        <v>348000</v>
      </c>
      <c r="I7" s="8">
        <v>351145</v>
      </c>
      <c r="J7" s="8">
        <f t="shared" si="0"/>
        <v>3145</v>
      </c>
      <c r="K7" s="9">
        <v>5720796</v>
      </c>
      <c r="L7" s="7">
        <f t="shared" si="1"/>
        <v>54.974867133874376</v>
      </c>
      <c r="N7" s="2" t="s">
        <v>5</v>
      </c>
      <c r="O7" s="4">
        <v>251516</v>
      </c>
    </row>
    <row r="8" spans="1:15" x14ac:dyDescent="0.25">
      <c r="A8" s="2" t="s">
        <v>17</v>
      </c>
      <c r="B8" s="3">
        <v>3926931</v>
      </c>
      <c r="C8" s="4">
        <v>1970481</v>
      </c>
      <c r="D8" s="16">
        <v>11.790377778473827</v>
      </c>
      <c r="E8" s="18"/>
      <c r="G8" s="7" t="s">
        <v>17</v>
      </c>
      <c r="H8" s="8">
        <v>253999</v>
      </c>
      <c r="I8" s="8">
        <v>254462</v>
      </c>
      <c r="J8" s="8">
        <f t="shared" si="0"/>
        <v>463</v>
      </c>
      <c r="K8" s="9">
        <v>3926931</v>
      </c>
      <c r="L8" s="7">
        <f t="shared" si="1"/>
        <v>11.790377778473827</v>
      </c>
      <c r="N8" s="2" t="s">
        <v>6</v>
      </c>
      <c r="O8" s="4">
        <v>238616</v>
      </c>
    </row>
    <row r="9" spans="1:15" x14ac:dyDescent="0.25">
      <c r="A9" s="2" t="s">
        <v>10</v>
      </c>
      <c r="B9" s="3">
        <v>3668333</v>
      </c>
      <c r="C9" s="4">
        <v>1562050</v>
      </c>
      <c r="D9" s="16">
        <v>35.438440294269903</v>
      </c>
      <c r="E9" s="18"/>
      <c r="G9" s="7" t="s">
        <v>10</v>
      </c>
      <c r="H9" s="8">
        <v>245342</v>
      </c>
      <c r="I9" s="8">
        <v>246642</v>
      </c>
      <c r="J9" s="8">
        <f t="shared" si="0"/>
        <v>1300</v>
      </c>
      <c r="K9" s="9">
        <v>3668333</v>
      </c>
      <c r="L9" s="7">
        <f t="shared" si="1"/>
        <v>35.438440294269903</v>
      </c>
      <c r="N9" s="2" t="s">
        <v>7</v>
      </c>
      <c r="O9" s="4">
        <v>2357671</v>
      </c>
    </row>
    <row r="10" spans="1:15" x14ac:dyDescent="0.25">
      <c r="A10" s="2" t="s">
        <v>20</v>
      </c>
      <c r="B10" s="3">
        <v>4840876</v>
      </c>
      <c r="C10" s="4">
        <v>2180906</v>
      </c>
      <c r="D10" s="16">
        <v>54.184407945999858</v>
      </c>
      <c r="E10" s="18"/>
      <c r="G10" s="7" t="s">
        <v>20</v>
      </c>
      <c r="H10" s="8">
        <v>234275</v>
      </c>
      <c r="I10" s="8">
        <v>236898</v>
      </c>
      <c r="J10" s="8">
        <f t="shared" si="0"/>
        <v>2623</v>
      </c>
      <c r="K10" s="9">
        <v>4840876</v>
      </c>
      <c r="L10" s="7">
        <f t="shared" si="1"/>
        <v>54.184407945999858</v>
      </c>
      <c r="N10" s="2" t="s">
        <v>8</v>
      </c>
      <c r="O10" s="4">
        <v>595955</v>
      </c>
    </row>
    <row r="11" spans="1:15" x14ac:dyDescent="0.25">
      <c r="A11" s="2" t="s">
        <v>8</v>
      </c>
      <c r="B11" s="3">
        <v>1198753</v>
      </c>
      <c r="C11" s="4">
        <v>595955</v>
      </c>
      <c r="D11" s="16">
        <v>13.931143446564887</v>
      </c>
      <c r="E11" s="18"/>
      <c r="G11" s="7" t="s">
        <v>32</v>
      </c>
      <c r="H11" s="8">
        <v>107188</v>
      </c>
      <c r="I11" s="8">
        <v>107355</v>
      </c>
      <c r="J11" s="8">
        <f t="shared" si="0"/>
        <v>167</v>
      </c>
      <c r="K11" s="9">
        <v>1198753</v>
      </c>
      <c r="L11" s="7">
        <f t="shared" si="1"/>
        <v>13.931143446564887</v>
      </c>
      <c r="N11" s="2" t="s">
        <v>9</v>
      </c>
      <c r="O11" s="4">
        <v>2127785</v>
      </c>
    </row>
    <row r="12" spans="1:15" x14ac:dyDescent="0.25">
      <c r="A12" s="2" t="s">
        <v>12</v>
      </c>
      <c r="B12" s="3">
        <v>1501406</v>
      </c>
      <c r="C12" s="4">
        <v>728923</v>
      </c>
      <c r="D12" s="16">
        <v>21.113542905782978</v>
      </c>
      <c r="E12" s="18"/>
      <c r="G12" s="7" t="s">
        <v>12</v>
      </c>
      <c r="H12" s="8">
        <v>104147</v>
      </c>
      <c r="I12" s="8">
        <v>104464</v>
      </c>
      <c r="J12" s="8">
        <f t="shared" si="0"/>
        <v>317</v>
      </c>
      <c r="K12" s="9">
        <v>1501406</v>
      </c>
      <c r="L12" s="7">
        <f t="shared" si="1"/>
        <v>21.113542905782978</v>
      </c>
      <c r="N12" s="2" t="s">
        <v>10</v>
      </c>
      <c r="O12" s="4">
        <v>1562050</v>
      </c>
    </row>
    <row r="13" spans="1:15" x14ac:dyDescent="0.25">
      <c r="A13" s="2" t="s">
        <v>3</v>
      </c>
      <c r="B13" s="3">
        <v>1509805</v>
      </c>
      <c r="C13" s="4">
        <v>665620</v>
      </c>
      <c r="D13" s="16">
        <v>26.824656164206637</v>
      </c>
      <c r="E13" s="18"/>
      <c r="G13" s="7" t="s">
        <v>3</v>
      </c>
      <c r="H13" s="8">
        <v>103701</v>
      </c>
      <c r="I13" s="8">
        <v>104106</v>
      </c>
      <c r="J13" s="8">
        <f t="shared" si="0"/>
        <v>405</v>
      </c>
      <c r="K13" s="9">
        <v>1509805</v>
      </c>
      <c r="L13" s="7">
        <f t="shared" si="1"/>
        <v>26.824656164206637</v>
      </c>
      <c r="N13" s="2" t="s">
        <v>11</v>
      </c>
      <c r="O13" s="4">
        <v>405261</v>
      </c>
    </row>
    <row r="14" spans="1:15" x14ac:dyDescent="0.25">
      <c r="A14" s="2" t="s">
        <v>14</v>
      </c>
      <c r="B14" s="3">
        <v>1285256</v>
      </c>
      <c r="C14" s="4">
        <v>610861</v>
      </c>
      <c r="D14" s="16">
        <v>17.584045513111786</v>
      </c>
      <c r="E14" s="18"/>
      <c r="G14" s="7" t="s">
        <v>14</v>
      </c>
      <c r="H14" s="8">
        <v>75285</v>
      </c>
      <c r="I14" s="8">
        <v>75511</v>
      </c>
      <c r="J14" s="8">
        <f t="shared" si="0"/>
        <v>226</v>
      </c>
      <c r="K14" s="9">
        <v>1285256</v>
      </c>
      <c r="L14" s="7">
        <f t="shared" si="1"/>
        <v>17.584045513111786</v>
      </c>
      <c r="N14" s="2" t="s">
        <v>12</v>
      </c>
      <c r="O14" s="4">
        <v>728923</v>
      </c>
    </row>
    <row r="15" spans="1:15" x14ac:dyDescent="0.25">
      <c r="A15" s="2" t="s">
        <v>5</v>
      </c>
      <c r="B15" s="3">
        <v>533715</v>
      </c>
      <c r="C15" s="4">
        <v>251516</v>
      </c>
      <c r="D15" s="16">
        <v>23.795471365803849</v>
      </c>
      <c r="E15" s="18"/>
      <c r="G15" s="7" t="s">
        <v>33</v>
      </c>
      <c r="H15" s="8">
        <v>73445</v>
      </c>
      <c r="I15" s="8">
        <v>73572</v>
      </c>
      <c r="J15" s="8">
        <f t="shared" si="0"/>
        <v>127</v>
      </c>
      <c r="K15" s="9">
        <v>533715</v>
      </c>
      <c r="L15" s="7">
        <f t="shared" si="1"/>
        <v>23.795471365803849</v>
      </c>
      <c r="N15" s="2" t="s">
        <v>13</v>
      </c>
      <c r="O15" s="4">
        <v>2959409</v>
      </c>
    </row>
    <row r="16" spans="1:15" x14ac:dyDescent="0.25">
      <c r="A16" s="2" t="s">
        <v>19</v>
      </c>
      <c r="B16" s="3">
        <v>1877728</v>
      </c>
      <c r="C16" s="4">
        <v>811892</v>
      </c>
      <c r="D16" s="16">
        <v>17.574430375432438</v>
      </c>
      <c r="E16" s="18"/>
      <c r="G16" s="7" t="s">
        <v>19</v>
      </c>
      <c r="H16" s="8">
        <v>69475</v>
      </c>
      <c r="I16" s="8">
        <v>69805</v>
      </c>
      <c r="J16" s="8">
        <f t="shared" si="0"/>
        <v>330</v>
      </c>
      <c r="K16" s="9">
        <v>1877728</v>
      </c>
      <c r="L16" s="7">
        <f t="shared" si="1"/>
        <v>17.574430375432438</v>
      </c>
      <c r="N16" s="2" t="s">
        <v>14</v>
      </c>
      <c r="O16" s="4">
        <v>610861</v>
      </c>
    </row>
    <row r="17" spans="1:15" x14ac:dyDescent="0.25">
      <c r="A17" s="2" t="s">
        <v>21</v>
      </c>
      <c r="B17" s="3">
        <v>1598225</v>
      </c>
      <c r="C17" s="4">
        <v>749465</v>
      </c>
      <c r="D17" s="16">
        <v>67.387257739054263</v>
      </c>
      <c r="E17" s="18"/>
      <c r="G17" s="7" t="s">
        <v>21</v>
      </c>
      <c r="H17" s="8">
        <v>57913</v>
      </c>
      <c r="I17" s="8">
        <v>58990</v>
      </c>
      <c r="J17" s="8">
        <f t="shared" si="0"/>
        <v>1077</v>
      </c>
      <c r="K17" s="9">
        <v>1598225</v>
      </c>
      <c r="L17" s="7">
        <f t="shared" si="1"/>
        <v>67.387257739054263</v>
      </c>
      <c r="N17" s="2" t="s">
        <v>15</v>
      </c>
      <c r="O17" s="4">
        <v>152895</v>
      </c>
    </row>
    <row r="18" spans="1:15" x14ac:dyDescent="0.25">
      <c r="A18" s="2" t="s">
        <v>11</v>
      </c>
      <c r="B18" s="3">
        <v>865013</v>
      </c>
      <c r="C18" s="4">
        <v>405261</v>
      </c>
      <c r="D18" s="16">
        <v>36.531242883054936</v>
      </c>
      <c r="E18" s="18"/>
      <c r="G18" s="7" t="s">
        <v>11</v>
      </c>
      <c r="H18" s="8">
        <v>56993</v>
      </c>
      <c r="I18" s="8">
        <v>57309</v>
      </c>
      <c r="J18" s="8">
        <f t="shared" si="0"/>
        <v>316</v>
      </c>
      <c r="K18" s="9">
        <v>865013</v>
      </c>
      <c r="L18" s="7">
        <f t="shared" si="1"/>
        <v>36.531242883054936</v>
      </c>
      <c r="N18" s="2" t="s">
        <v>16</v>
      </c>
      <c r="O18" s="4">
        <v>2847763</v>
      </c>
    </row>
    <row r="19" spans="1:15" x14ac:dyDescent="0.25">
      <c r="A19" s="2" t="s">
        <v>6</v>
      </c>
      <c r="B19" s="3">
        <v>544745</v>
      </c>
      <c r="C19" s="4">
        <v>238616</v>
      </c>
      <c r="D19" s="16">
        <v>29.555112942753027</v>
      </c>
      <c r="E19" s="18"/>
      <c r="G19" s="7" t="s">
        <v>34</v>
      </c>
      <c r="H19" s="8">
        <v>45875</v>
      </c>
      <c r="I19" s="8">
        <v>46036</v>
      </c>
      <c r="J19" s="8">
        <f t="shared" si="0"/>
        <v>161</v>
      </c>
      <c r="K19" s="9">
        <v>544745</v>
      </c>
      <c r="L19" s="7">
        <f t="shared" si="1"/>
        <v>29.555112942753027</v>
      </c>
      <c r="N19" s="2" t="s">
        <v>17</v>
      </c>
      <c r="O19" s="4">
        <v>1970481</v>
      </c>
    </row>
    <row r="20" spans="1:15" x14ac:dyDescent="0.25">
      <c r="A20" s="2" t="s">
        <v>18</v>
      </c>
      <c r="B20" s="3">
        <v>547579</v>
      </c>
      <c r="C20" s="4">
        <v>237605</v>
      </c>
      <c r="D20" s="16">
        <v>16.070740477629712</v>
      </c>
      <c r="E20" s="18"/>
      <c r="G20" s="7" t="s">
        <v>18</v>
      </c>
      <c r="H20" s="8">
        <v>27059</v>
      </c>
      <c r="I20" s="8">
        <v>27147</v>
      </c>
      <c r="J20" s="8">
        <f t="shared" si="0"/>
        <v>88</v>
      </c>
      <c r="K20" s="9">
        <v>547579</v>
      </c>
      <c r="L20" s="7">
        <f t="shared" si="1"/>
        <v>16.070740477629712</v>
      </c>
      <c r="N20" s="2" t="s">
        <v>18</v>
      </c>
      <c r="O20" s="4">
        <v>237605</v>
      </c>
    </row>
    <row r="21" spans="1:15" x14ac:dyDescent="0.25">
      <c r="A21" s="2" t="s">
        <v>15</v>
      </c>
      <c r="B21" s="3">
        <v>296547</v>
      </c>
      <c r="C21" s="4">
        <v>152895</v>
      </c>
      <c r="D21" s="16">
        <v>20.907309802493366</v>
      </c>
      <c r="E21" s="18"/>
      <c r="G21" s="7" t="s">
        <v>15</v>
      </c>
      <c r="H21" s="8">
        <v>13776</v>
      </c>
      <c r="I21" s="8">
        <v>13838</v>
      </c>
      <c r="J21" s="8">
        <f t="shared" si="0"/>
        <v>62</v>
      </c>
      <c r="K21" s="9">
        <v>296547</v>
      </c>
      <c r="L21" s="7">
        <f t="shared" si="1"/>
        <v>20.907309802493366</v>
      </c>
      <c r="N21" s="2" t="s">
        <v>19</v>
      </c>
      <c r="O21" s="4">
        <v>811892</v>
      </c>
    </row>
    <row r="22" spans="1:15" x14ac:dyDescent="0.25">
      <c r="A22" s="2" t="s">
        <v>2</v>
      </c>
      <c r="B22" s="3">
        <v>123895</v>
      </c>
      <c r="C22" s="4">
        <v>55612</v>
      </c>
      <c r="D22" s="16">
        <v>10.492755962710358</v>
      </c>
      <c r="E22" s="18"/>
      <c r="G22" s="7" t="s">
        <v>2</v>
      </c>
      <c r="H22" s="8">
        <v>11703</v>
      </c>
      <c r="I22" s="8">
        <v>11716</v>
      </c>
      <c r="J22" s="8">
        <f t="shared" si="0"/>
        <v>13</v>
      </c>
      <c r="K22" s="9">
        <v>123895</v>
      </c>
      <c r="L22" s="7">
        <f t="shared" si="1"/>
        <v>10.492755962710358</v>
      </c>
      <c r="N22" s="2" t="s">
        <v>20</v>
      </c>
      <c r="O22" s="4">
        <v>2180906</v>
      </c>
    </row>
    <row r="23" spans="1:15" x14ac:dyDescent="0.25">
      <c r="A23" s="1" t="s">
        <v>0</v>
      </c>
      <c r="B23" s="12">
        <v>59257566</v>
      </c>
      <c r="C23" s="14">
        <v>28533541</v>
      </c>
      <c r="D23" s="17">
        <v>32.093792039990305</v>
      </c>
      <c r="E23" s="19"/>
      <c r="G23" s="5" t="s">
        <v>0</v>
      </c>
      <c r="H23" s="11">
        <f>SUM(H2:H22)</f>
        <v>4278319</v>
      </c>
      <c r="I23" s="11">
        <f>SUM(I2:I22)</f>
        <v>4297337</v>
      </c>
      <c r="J23" s="11">
        <f t="shared" si="0"/>
        <v>19018</v>
      </c>
      <c r="K23" s="12">
        <v>59257566</v>
      </c>
      <c r="L23" s="5">
        <f>+J23/K23*100000</f>
        <v>32.093792039990305</v>
      </c>
      <c r="N23" s="2" t="s">
        <v>21</v>
      </c>
      <c r="O23" s="4">
        <v>749465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48" sqref="D48"/>
    </sheetView>
  </sheetViews>
  <sheetFormatPr defaultColWidth="11"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Vincenzo Nardelli</dc:creator>
  <cp:lastModifiedBy>Eugenio DB</cp:lastModifiedBy>
  <dcterms:created xsi:type="dcterms:W3CDTF">2021-07-15T08:01:02Z</dcterms:created>
  <dcterms:modified xsi:type="dcterms:W3CDTF">2021-07-22T14:57:11Z</dcterms:modified>
</cp:coreProperties>
</file>